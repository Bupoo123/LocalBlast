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<sst xmlns="http://schemas.openxmlformats.org/spreadsheetml/2006/main" count="21" uniqueCount="19">
  <si>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r>
      <rPr>
        <sz val="10"/>
        <color theme="1"/>
        <rFont val="Times New Roman"/>
        <charset val="134"/>
      </rPr>
      <t>SEQ</t>
    </r>
    <r>
      <rPr>
        <sz val="10"/>
        <color theme="1"/>
        <rFont val="宋体"/>
        <charset val="134"/>
      </rPr>
      <t>文件名</t>
    </r>
  </si>
  <si>
    <t>对应参比序列靶点名称</t>
  </si>
  <si>
    <t>对应参比序列编号</t>
  </si>
  <si>
    <t>Query Length</t>
  </si>
  <si>
    <t>Subject Length</t>
  </si>
  <si>
    <t>Query Cover</t>
  </si>
  <si>
    <t>Per. Ident</t>
  </si>
  <si>
    <t>阳性概率值</t>
  </si>
  <si>
    <t>结果</t>
  </si>
  <si>
    <t>B0035J_S241220-001-DF21D12</t>
  </si>
  <si>
    <t>流感嗜血杆菌</t>
  </si>
  <si>
    <t>DF21</t>
  </si>
  <si>
    <t>阳性</t>
  </si>
  <si>
    <t>B0037J_S241220-001-DF01E10</t>
  </si>
  <si>
    <r>
      <rPr>
        <sz val="10"/>
        <rFont val="宋体"/>
        <charset val="134"/>
      </rPr>
      <t>人疱疹病毒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型</t>
    </r>
    <r>
      <rPr>
        <sz val="10"/>
        <rFont val="Times New Roman"/>
        <charset val="134"/>
      </rPr>
      <t>(CMV)</t>
    </r>
  </si>
  <si>
    <t>DF01</t>
  </si>
  <si>
    <t>B0037J_S241220-001-DF03E11</t>
  </si>
  <si>
    <r>
      <rPr>
        <sz val="10"/>
        <rFont val="宋体"/>
        <charset val="134"/>
      </rPr>
      <t>人疱疹病毒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型</t>
    </r>
  </si>
  <si>
    <t>DF03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</si>
</sst>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color rgb="FF212121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82550</xdr:rowOff>
    </xdr:from>
    <xdr:to>
      <xdr:col>21</xdr:col>
      <xdr:colOff>200660</xdr:colOff>
      <xdr:row>29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38150"/>
          <a:ext cx="13401675" cy="4743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last.ncbi.nlm.nih.gov/Blast.cgi?CMD=Get&amp;ADV_VIEW=yes&amp;ADV_VIEW=on&amp;ALIGNMENTS=100&amp;ALIGNMENT_VIEW=Pairwise&amp;BLAST_SPEC=blast2seq&amp;CONFIG_DESCR=ClustMemNbr,ClustComn,Ds,Sc,Ms,Ts,Cov,Eval,Idnt,AccLen,Acc&amp;DATABASE_SORT=0&amp;DESCRIPTIONS=100&amp;DYNAMIC_FORMAT=on&amp;FORMAT_OBJECT=Alignment&amp;FORMAT_TYPE=HTML&amp;GET_SEQUENCE=yes&amp;I_THRESH=&amp;LINE_LENGTH=60&amp;MASK_CHAR=2&amp;MASK_COLOR=1&amp;NUM_OVERVIEW=100&amp;PAGE=MegaBlast&amp;QUERY_INDEX=0&amp;QUERY_NUMBER=0&amp;RID=JG0YNWAX114&amp;SHOW_LINKOUT=yes&amp;SHOW_OVERVIEW=yes&amp;STEP_NUMBER=&amp;ADV_VIEW=on&amp;DISPLAY_SORT=3&amp;HSP_SORT=3" TargetMode="External"/><Relationship Id="rId1" Type="http://schemas.openxmlformats.org/officeDocument/2006/relationships/hyperlink" Target="https://blast.ncbi.nlm.nih.gov/Blast.cgi?CMD=Get&amp;ADV_VIEW=yes&amp;ADV_VIEW=on&amp;ALIGNMENTS=100&amp;ALIGNMENT_VIEW=Pairwise&amp;BLAST_SPEC=blast2seq&amp;CONFIG_DESCR=ClustMemNbr,ClustComn,Ds,Sc,Ms,Ts,Cov,Eval,Idnt,AccLen,Acc&amp;DATABASE_SORT=0&amp;DESCRIPTIONS=100&amp;DYNAMIC_FORMAT=on&amp;FORMAT_OBJECT=Alignment&amp;FORMAT_TYPE=HTML&amp;GET_SEQUENCE=yes&amp;I_THRESH=&amp;LINE_LENGTH=60&amp;MASK_CHAR=2&amp;MASK_COLOR=1&amp;NUM_OVERVIEW=100&amp;PAGE=MegaBlast&amp;QUERY_INDEX=0&amp;QUERY_NUMBER=0&amp;RID=JG0YNWAX114&amp;SHOW_LINKOUT=yes&amp;SHOW_OVERVIEW=yes&amp;STEP_NUMBER=&amp;ADV_VIEW=on&amp;DISPLAY_SORT=4&amp;HSP_SORT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pane ySplit="1" topLeftCell="A2" activePane="bottomLeft" state="frozen"/>
      <selection/>
      <selection pane="bottomLeft" activeCell="D1" sqref="D1"/>
    </sheetView>
  </sheetViews>
  <sheetFormatPr defaultColWidth="9" defaultRowHeight="14" outlineLevelRow="3"/>
  <cols>
    <col min="1" max="1" width="29.8181818181818" customWidth="1"/>
    <col min="2" max="2" width="23" customWidth="1"/>
    <col min="3" max="3" width="18.5454545454545" customWidth="1"/>
    <col min="4" max="4" width="11.2727272727273" customWidth="1"/>
    <col min="5" max="5" width="12.3636363636364" customWidth="1"/>
    <col min="6" max="6" width="12" customWidth="1"/>
    <col min="7" max="7" width="9.45454545454546" customWidth="1"/>
    <col min="8" max="8" width="11.8181818181818" style="2" customWidth="1"/>
  </cols>
  <sheetData>
    <row r="1" s="1" customFormat="1" ht="13" spans="1:9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10</v>
      </c>
      <c r="C2" s="4" t="s">
        <v>11</v>
      </c>
      <c r="D2" s="6">
        <v>178</v>
      </c>
      <c r="E2" s="6">
        <v>201</v>
      </c>
      <c r="F2" s="7">
        <v>0.91</v>
      </c>
      <c r="G2" s="8">
        <v>0.9878</v>
      </c>
      <c r="H2" s="9">
        <f>F2*G2</f>
        <v>0.898898</v>
      </c>
      <c r="I2" s="4" t="s">
        <v>12</v>
      </c>
    </row>
    <row r="3" spans="1:9">
      <c r="A3" s="4" t="s">
        <v>13</v>
      </c>
      <c r="B3" s="10" t="s">
        <v>14</v>
      </c>
      <c r="C3" s="4" t="s">
        <v>15</v>
      </c>
      <c r="D3" s="6">
        <v>252</v>
      </c>
      <c r="E3" s="6">
        <v>288</v>
      </c>
      <c r="F3" s="7">
        <v>0.96</v>
      </c>
      <c r="G3" s="8">
        <v>0.9918</v>
      </c>
      <c r="H3" s="9">
        <f>F3*G3</f>
        <v>0.952128</v>
      </c>
      <c r="I3" s="4" t="s">
        <v>12</v>
      </c>
    </row>
    <row r="4" spans="1:9">
      <c r="A4" s="4" t="s">
        <v>16</v>
      </c>
      <c r="B4" s="10" t="s">
        <v>17</v>
      </c>
      <c r="C4" s="4" t="s">
        <v>18</v>
      </c>
      <c r="D4" s="6">
        <v>164</v>
      </c>
      <c r="E4" s="6">
        <v>196</v>
      </c>
      <c r="F4" s="7">
        <v>0.99</v>
      </c>
      <c r="G4" s="11">
        <v>0.9878</v>
      </c>
      <c r="H4" s="9">
        <f>F4*G4</f>
        <v>0.977922</v>
      </c>
      <c r="I4" s="4" t="s">
        <v>12</v>
      </c>
    </row>
  </sheetData>
  <autoFilter xmlns:etc="http://www.wps.cn/officeDocument/2017/etCustomData" ref="A1:H4" etc:filterBottomFollowUsedRange="0">
    <extLst/>
  </autoFilter>
  <hyperlinks>
    <hyperlink ref="F1" r:id="rId1" display="Query Cover" tooltip="https://blast.ncbi.nlm.nih.gov/Blast.cgi?CMD=Get&amp;ADV_VIEW=yes&amp;ADV_VIEW=on&amp;ALIGNMENTS=100&amp;ALIGNMENT_VIEW=Pairwise&amp;BLAST_SPEC=blast2seq&amp;CONFIG_DESCR=ClustMemNbr,ClustComn,Ds,Sc,Ms,Ts,Cov,Eval,Idnt,AccLen,Acc&amp;DATABASE_SORT=0&amp;DESCRIPTIONS=100&amp;DYNAMIC_FORMAT=o"/>
    <hyperlink ref="G1" r:id="rId2" display="Per. Ident" tooltip="https://blast.ncbi.nlm.nih.gov/Blast.cgi?CMD=Get&amp;ADV_VIEW=yes&amp;ADV_VIEW=on&amp;ALIGNMENTS=100&amp;ALIGNMENT_VIEW=Pairwise&amp;BLAST_SPEC=blast2seq&amp;CONFIG_DESCR=ClustMemNbr,ClustComn,Ds,Sc,Ms,Ts,Cov,Eval,Idnt,AccLen,Acc&amp;DATABASE_SORT=0&amp;DESCRIPTIONS=100&amp;DYNAMIC_FORMAT=o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9" sqref="M9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YDD</cp:lastModifiedBy>
  <dcterms:created xsi:type="dcterms:W3CDTF">2023-05-12T11:15:00Z</dcterms:created>
  <dcterms:modified xsi:type="dcterms:W3CDTF">2025-11-27T09:04:03Z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2BC783C34B3A4458B4B3794F74A9B461_12</vt:lpwstr>
  </property>
</Properties>
</file>